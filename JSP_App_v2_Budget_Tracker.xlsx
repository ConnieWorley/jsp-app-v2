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rs Log" sheetId="1" state="visible" r:id="rId3"/>
    <sheet name="Budget vs Actu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<sst xmlns="http://schemas.openxmlformats.org/spreadsheetml/2006/main" count="38" uniqueCount="35">
  <si>
    <t xml:space="preserve">JSP App v2 — Hours Log</t>
  </si>
  <si>
    <t xml:space="preserve">Labor Rate:</t>
  </si>
  <si>
    <t xml:space="preserve">← Update here if rate changes</t>
  </si>
  <si>
    <t xml:space="preserve">Date</t>
  </si>
  <si>
    <t xml:space="preserve">Phase</t>
  </si>
  <si>
    <t xml:space="preserve">Activity</t>
  </si>
  <si>
    <t xml:space="preserve">Hours</t>
  </si>
  <si>
    <t xml:space="preserve">Running Total</t>
  </si>
  <si>
    <t xml:space="preserve">Labor Cost to Date</t>
  </si>
  <si>
    <t xml:space="preserve">June 17, 2026</t>
  </si>
  <si>
    <t xml:space="preserve">Phase 1 — Discovery</t>
  </si>
  <si>
    <t xml:space="preserve">Project kickoff, requirements gathering, user flow</t>
  </si>
  <si>
    <t xml:space="preserve">June 18, 2026</t>
  </si>
  <si>
    <t xml:space="preserve">Feature matrix, backlog (all epics)</t>
  </si>
  <si>
    <t xml:space="preserve">TOTALS</t>
  </si>
  <si>
    <t xml:space="preserve">JSP App v2 — Budget vs. Actual</t>
  </si>
  <si>
    <t xml:space="preserve">Labor rate pulled from Hours Log sheet (cell B2). Update rate there to reflect here.</t>
  </si>
  <si>
    <t xml:space="preserve">Est. Hours</t>
  </si>
  <si>
    <t xml:space="preserve">Actual Hours</t>
  </si>
  <si>
    <t xml:space="preserve">Hour Variance</t>
  </si>
  <si>
    <t xml:space="preserve">Est. Cost</t>
  </si>
  <si>
    <t xml:space="preserve">Actual Cost</t>
  </si>
  <si>
    <t xml:space="preserve">Cost Variance</t>
  </si>
  <si>
    <t xml:space="preserve">Phase 1 — Discovery &amp; Requirements</t>
  </si>
  <si>
    <t xml:space="preserve">Phase 2 — Architecture &amp; Stack</t>
  </si>
  <si>
    <t xml:space="preserve">Phase 3 — Environment Setup</t>
  </si>
  <si>
    <t xml:space="preserve">Phase 4 — Core Build: Setup &amp; Auth</t>
  </si>
  <si>
    <t xml:space="preserve">Phase 5 — Core Build: JD Intake</t>
  </si>
  <si>
    <t xml:space="preserve">Phase 6 — Core Build: Tailoring</t>
  </si>
  <si>
    <t xml:space="preserve">Phase 7 — Core Build: Networking</t>
  </si>
  <si>
    <t xml:space="preserve">Phase 8 — Core Build: Interview Prep</t>
  </si>
  <si>
    <t xml:space="preserve">Phase 9 — Core Build: Dashboard</t>
  </si>
  <si>
    <t xml:space="preserve">Phase 10 — Integration &amp; QA</t>
  </si>
  <si>
    <t xml:space="preserve">Phase 11 — Polish &amp; Deploy</t>
  </si>
  <si>
    <t xml:space="preserve">Phase 12 — Case Study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</si>
</sst>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"/>
    <numFmt numFmtId="167" formatCode="\$#,##0.00"/>
    <numFmt numFmtId="168" formatCode="0.0;\(0.0\);\-"/>
    <numFmt numFmtId="169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9C4"/>
        <bgColor rgb="FFFFFF99"/>
      </patternFill>
    </fill>
    <fill>
      <patternFill patternType="solid">
        <fgColor rgb="FF2D5A8E"/>
        <bgColor rgb="FF1E3A5F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C4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2D5A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3"/>
    <col collapsed="false" customWidth="true" hidden="false" outlineLevel="0" max="7" min="5" style="0" width="15"/>
  </cols>
  <sheetData>
    <row r="1" customFormat="false" ht="36" hidden="false" customHeight="true" outlineLevel="0" collapsed="false">
      <c r="A1" s="1" t="s">
        <v>15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18" t="s">
        <v>16</v>
      </c>
      <c r="B2" s="18"/>
      <c r="C2" s="18"/>
      <c r="D2" s="18"/>
      <c r="E2" s="18"/>
      <c r="F2" s="18"/>
      <c r="G2" s="18"/>
    </row>
    <row r="3" customFormat="false" ht="21.75" hidden="false" customHeight="true" outlineLevel="0" collapsed="false">
      <c r="A3" s="6" t="s">
        <v>4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</row>
    <row r="4" customFormat="false" ht="18" hidden="false" customHeight="true" outlineLevel="0" collapsed="false">
      <c r="A4" s="7" t="s">
        <v>23</v>
      </c>
      <c r="B4" s="19" t="n">
        <v>8</v>
      </c>
      <c r="C4" s="8"/>
      <c r="D4" s="20" t="str">
        <f aca="false">IF(C4="","",C4-B4)</f>
        <v/>
      </c>
      <c r="E4" s="21" t="n">
        <f aca="false">B4*'Hours Log'!$B$2</f>
        <v>1200</v>
      </c>
      <c r="F4" s="21" t="str">
        <f aca="false">IF(C4="","",C4*'Hours Log'!$B$2)</f>
        <v/>
      </c>
      <c r="G4" s="22" t="str">
        <f aca="false">IF(F4="","",F4-E4)</f>
        <v/>
      </c>
    </row>
    <row r="5" customFormat="false" ht="18" hidden="false" customHeight="true" outlineLevel="0" collapsed="false">
      <c r="A5" s="11" t="s">
        <v>24</v>
      </c>
      <c r="B5" s="23" t="n">
        <v>4</v>
      </c>
      <c r="C5" s="8"/>
      <c r="D5" s="24" t="str">
        <f aca="false">IF(C5="","",C5-B5)</f>
        <v/>
      </c>
      <c r="E5" s="25" t="n">
        <f aca="false">B5*'Hours Log'!$B$2</f>
        <v>600</v>
      </c>
      <c r="F5" s="25" t="str">
        <f aca="false">IF(C5="","",C5*'Hours Log'!$B$2)</f>
        <v/>
      </c>
      <c r="G5" s="26" t="str">
        <f aca="false">IF(F5="","",F5-E5)</f>
        <v/>
      </c>
    </row>
    <row r="6" customFormat="false" ht="18" hidden="false" customHeight="true" outlineLevel="0" collapsed="false">
      <c r="A6" s="7" t="s">
        <v>25</v>
      </c>
      <c r="B6" s="19" t="n">
        <v>3</v>
      </c>
      <c r="C6" s="8"/>
      <c r="D6" s="20" t="str">
        <f aca="false">IF(C6="","",C6-B6)</f>
        <v/>
      </c>
      <c r="E6" s="21" t="n">
        <f aca="false">B6*'Hours Log'!$B$2</f>
        <v>450</v>
      </c>
      <c r="F6" s="21" t="str">
        <f aca="false">IF(C6="","",C6*'Hours Log'!$B$2)</f>
        <v/>
      </c>
      <c r="G6" s="22" t="str">
        <f aca="false">IF(F6="","",F6-E6)</f>
        <v/>
      </c>
    </row>
    <row r="7" customFormat="false" ht="18" hidden="false" customHeight="true" outlineLevel="0" collapsed="false">
      <c r="A7" s="11" t="s">
        <v>26</v>
      </c>
      <c r="B7" s="23" t="n">
        <v>12</v>
      </c>
      <c r="C7" s="8"/>
      <c r="D7" s="24" t="str">
        <f aca="false">IF(C7="","",C7-B7)</f>
        <v/>
      </c>
      <c r="E7" s="25" t="n">
        <f aca="false">B7*'Hours Log'!$B$2</f>
        <v>1800</v>
      </c>
      <c r="F7" s="25" t="str">
        <f aca="false">IF(C7="","",C7*'Hours Log'!$B$2)</f>
        <v/>
      </c>
      <c r="G7" s="26" t="str">
        <f aca="false">IF(F7="","",F7-E7)</f>
        <v/>
      </c>
    </row>
    <row r="8" customFormat="false" ht="18" hidden="false" customHeight="true" outlineLevel="0" collapsed="false">
      <c r="A8" s="7" t="s">
        <v>27</v>
      </c>
      <c r="B8" s="19" t="n">
        <v>10</v>
      </c>
      <c r="C8" s="8"/>
      <c r="D8" s="20" t="str">
        <f aca="false">IF(C8="","",C8-B8)</f>
        <v/>
      </c>
      <c r="E8" s="21" t="n">
        <f aca="false">B8*'Hours Log'!$B$2</f>
        <v>1500</v>
      </c>
      <c r="F8" s="21" t="str">
        <f aca="false">IF(C8="","",C8*'Hours Log'!$B$2)</f>
        <v/>
      </c>
      <c r="G8" s="22" t="str">
        <f aca="false">IF(F8="","",F8-E8)</f>
        <v/>
      </c>
    </row>
    <row r="9" customFormat="false" ht="18" hidden="false" customHeight="true" outlineLevel="0" collapsed="false">
      <c r="A9" s="11" t="s">
        <v>28</v>
      </c>
      <c r="B9" s="23" t="n">
        <v>8</v>
      </c>
      <c r="C9" s="8"/>
      <c r="D9" s="24" t="str">
        <f aca="false">IF(C9="","",C9-B9)</f>
        <v/>
      </c>
      <c r="E9" s="25" t="n">
        <f aca="false">B9*'Hours Log'!$B$2</f>
        <v>1200</v>
      </c>
      <c r="F9" s="25" t="str">
        <f aca="false">IF(C9="","",C9*'Hours Log'!$B$2)</f>
        <v/>
      </c>
      <c r="G9" s="26" t="str">
        <f aca="false">IF(F9="","",F9-E9)</f>
        <v/>
      </c>
    </row>
    <row r="10" customFormat="false" ht="18" hidden="false" customHeight="true" outlineLevel="0" collapsed="false">
      <c r="A10" s="7" t="s">
        <v>29</v>
      </c>
      <c r="B10" s="19" t="n">
        <v>6</v>
      </c>
      <c r="C10" s="8"/>
      <c r="D10" s="20" t="str">
        <f aca="false">IF(C10="","",C10-B10)</f>
        <v/>
      </c>
      <c r="E10" s="21" t="n">
        <f aca="false">B10*'Hours Log'!$B$2</f>
        <v>900</v>
      </c>
      <c r="F10" s="21" t="str">
        <f aca="false">IF(C10="","",C10*'Hours Log'!$B$2)</f>
        <v/>
      </c>
      <c r="G10" s="22" t="str">
        <f aca="false">IF(F10="","",F10-E10)</f>
        <v/>
      </c>
    </row>
    <row r="11" customFormat="false" ht="18" hidden="false" customHeight="true" outlineLevel="0" collapsed="false">
      <c r="A11" s="11" t="s">
        <v>30</v>
      </c>
      <c r="B11" s="23" t="n">
        <v>6</v>
      </c>
      <c r="C11" s="8"/>
      <c r="D11" s="24" t="str">
        <f aca="false">IF(C11="","",C11-B11)</f>
        <v/>
      </c>
      <c r="E11" s="25" t="n">
        <f aca="false">B11*'Hours Log'!$B$2</f>
        <v>900</v>
      </c>
      <c r="F11" s="25" t="str">
        <f aca="false">IF(C11="","",C11*'Hours Log'!$B$2)</f>
        <v/>
      </c>
      <c r="G11" s="26" t="str">
        <f aca="false">IF(F11="","",F11-E11)</f>
        <v/>
      </c>
    </row>
    <row r="12" customFormat="false" ht="18" hidden="false" customHeight="true" outlineLevel="0" collapsed="false">
      <c r="A12" s="7" t="s">
        <v>31</v>
      </c>
      <c r="B12" s="19" t="n">
        <v>6</v>
      </c>
      <c r="C12" s="8"/>
      <c r="D12" s="20" t="str">
        <f aca="false">IF(C12="","",C12-B12)</f>
        <v/>
      </c>
      <c r="E12" s="21" t="n">
        <f aca="false">B12*'Hours Log'!$B$2</f>
        <v>900</v>
      </c>
      <c r="F12" s="21" t="str">
        <f aca="false">IF(C12="","",C12*'Hours Log'!$B$2)</f>
        <v/>
      </c>
      <c r="G12" s="22" t="str">
        <f aca="false">IF(F12="","",F12-E12)</f>
        <v/>
      </c>
    </row>
    <row r="13" customFormat="false" ht="18" hidden="false" customHeight="true" outlineLevel="0" collapsed="false">
      <c r="A13" s="11" t="s">
        <v>32</v>
      </c>
      <c r="B13" s="23" t="n">
        <v>8</v>
      </c>
      <c r="C13" s="8"/>
      <c r="D13" s="24" t="str">
        <f aca="false">IF(C13="","",C13-B13)</f>
        <v/>
      </c>
      <c r="E13" s="25" t="n">
        <f aca="false">B13*'Hours Log'!$B$2</f>
        <v>1200</v>
      </c>
      <c r="F13" s="25" t="str">
        <f aca="false">IF(C13="","",C13*'Hours Log'!$B$2)</f>
        <v/>
      </c>
      <c r="G13" s="26" t="str">
        <f aca="false">IF(F13="","",F13-E13)</f>
        <v/>
      </c>
    </row>
    <row r="14" customFormat="false" ht="18" hidden="false" customHeight="true" outlineLevel="0" collapsed="false">
      <c r="A14" s="7" t="s">
        <v>33</v>
      </c>
      <c r="B14" s="19" t="n">
        <v>6</v>
      </c>
      <c r="C14" s="8"/>
      <c r="D14" s="20" t="str">
        <f aca="false">IF(C14="","",C14-B14)</f>
        <v/>
      </c>
      <c r="E14" s="21" t="n">
        <f aca="false">B14*'Hours Log'!$B$2</f>
        <v>900</v>
      </c>
      <c r="F14" s="21" t="str">
        <f aca="false">IF(C14="","",C14*'Hours Log'!$B$2)</f>
        <v/>
      </c>
      <c r="G14" s="22" t="str">
        <f aca="false">IF(F14="","",F14-E14)</f>
        <v/>
      </c>
    </row>
    <row r="15" customFormat="false" ht="18" hidden="false" customHeight="true" outlineLevel="0" collapsed="false">
      <c r="A15" s="11" t="s">
        <v>34</v>
      </c>
      <c r="B15" s="23" t="n">
        <v>4</v>
      </c>
      <c r="C15" s="8"/>
      <c r="D15" s="24" t="str">
        <f aca="false">IF(C15="","",C15-B15)</f>
        <v/>
      </c>
      <c r="E15" s="25" t="n">
        <f aca="false">B15*'Hours Log'!$B$2</f>
        <v>600</v>
      </c>
      <c r="F15" s="25" t="str">
        <f aca="false">IF(C15="","",C15*'Hours Log'!$B$2)</f>
        <v/>
      </c>
      <c r="G15" s="26" t="str">
        <f aca="false">IF(F15="","",F15-E15)</f>
        <v/>
      </c>
    </row>
    <row r="16" customFormat="false" ht="21.75" hidden="false" customHeight="true" outlineLevel="0" collapsed="false">
      <c r="A16" s="27" t="s">
        <v>14</v>
      </c>
      <c r="B16" s="15" t="n">
        <f aca="false">SUM(B4:B15)</f>
        <v>81</v>
      </c>
      <c r="C16" s="15" t="n">
        <f aca="false">SUM(C4:C15)</f>
        <v>0</v>
      </c>
      <c r="D16" s="28" t="n">
        <f aca="false">SUM(C4:C15)-SUM(B4:B15)</f>
        <v>-81</v>
      </c>
      <c r="E16" s="29" t="n">
        <f aca="false">SUM(E4:E15)</f>
        <v>12150</v>
      </c>
      <c r="F16" s="29" t="n">
        <f aca="false">SUM(F4:F15)</f>
        <v>0</v>
      </c>
      <c r="G16" s="30" t="n">
        <f aca="false">SUM(G4:G15)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2026-06-18T22:30:48Z</dcterms:created>
  <dc:creator>openpyxl</dc:creator>
  <dc:description/>
  <dc:language>en-US</dc:language>
  <cp:lastModifiedBy/>
  <dcterms:modified xsi:type="dcterms:W3CDTF">2026-06-18T22:30:48Z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